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riana.gomes\Desktop\"/>
    </mc:Choice>
  </mc:AlternateContent>
  <bookViews>
    <workbookView xWindow="3075" yWindow="0" windowWidth="19440" windowHeight="11040" tabRatio="500"/>
  </bookViews>
  <sheets>
    <sheet name="Sheet1" sheetId="1" r:id="rId1"/>
    <sheet name="landing" sheetId="5" r:id="rId2"/>
    <sheet name="2004" sheetId="2" r:id="rId3"/>
    <sheet name="2012" sheetId="3" r:id="rId4"/>
    <sheet name="2011" sheetId="4" r:id="rId5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5" l="1"/>
  <c r="B21" i="5"/>
  <c r="C20" i="5"/>
  <c r="B20" i="5"/>
  <c r="C19" i="5"/>
  <c r="B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1" i="5" s="1"/>
  <c r="Y5" i="4"/>
  <c r="X5" i="4"/>
  <c r="Y4" i="4"/>
  <c r="X4" i="4"/>
  <c r="Y3" i="4"/>
  <c r="X3" i="4"/>
  <c r="Y2" i="4"/>
  <c r="X2" i="4"/>
  <c r="BG5" i="3"/>
  <c r="BF5" i="3"/>
  <c r="BG4" i="3"/>
  <c r="BF4" i="3"/>
  <c r="BG3" i="3"/>
  <c r="BF3" i="3"/>
  <c r="BI2" i="3"/>
  <c r="BH2" i="3"/>
  <c r="BG2" i="3"/>
  <c r="BF2" i="3"/>
  <c r="D20" i="5" l="1"/>
  <c r="D19" i="5"/>
  <c r="C16" i="2"/>
  <c r="D16" i="2"/>
  <c r="E16" i="2"/>
  <c r="F16" i="2"/>
  <c r="CN16" i="2" s="1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9" i="2"/>
  <c r="D9" i="2"/>
  <c r="CN9" i="2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3" i="2"/>
  <c r="CM3" i="2"/>
  <c r="CN2" i="2"/>
  <c r="CM2" i="2"/>
  <c r="CN3" i="1"/>
  <c r="CM3" i="1"/>
  <c r="CN2" i="1"/>
  <c r="CM2" i="1"/>
  <c r="CM16" i="2" l="1"/>
</calcChain>
</file>

<file path=xl/sharedStrings.xml><?xml version="1.0" encoding="utf-8"?>
<sst xmlns="http://schemas.openxmlformats.org/spreadsheetml/2006/main" count="135" uniqueCount="46">
  <si>
    <t>EPI MAR</t>
  </si>
  <si>
    <t>EPI MOR</t>
  </si>
  <si>
    <t>EPI NIV</t>
  </si>
  <si>
    <t>MYC ACU</t>
  </si>
  <si>
    <t>MYC BON</t>
  </si>
  <si>
    <t>MYC INT</t>
  </si>
  <si>
    <t>MYC MIC</t>
  </si>
  <si>
    <t>SCA CRI</t>
  </si>
  <si>
    <t>SCA  TRI</t>
  </si>
  <si>
    <t>SCA  ZEL</t>
  </si>
  <si>
    <t>SPA AXI</t>
  </si>
  <si>
    <t>SPA FRO</t>
  </si>
  <si>
    <t>SPA AMP</t>
  </si>
  <si>
    <t>EPINEPHELIDAE</t>
  </si>
  <si>
    <t>LABRIDAE</t>
  </si>
  <si>
    <t>family</t>
  </si>
  <si>
    <t>spp</t>
  </si>
  <si>
    <t>Mean density</t>
  </si>
  <si>
    <t>SD</t>
  </si>
  <si>
    <t>Epinephelidae</t>
  </si>
  <si>
    <t>scaridae</t>
  </si>
  <si>
    <t>Scarinae</t>
  </si>
  <si>
    <t>pedra_vermelha</t>
  </si>
  <si>
    <t>marmuta</t>
  </si>
  <si>
    <t>porcos_o</t>
  </si>
  <si>
    <t>porcos_sul</t>
  </si>
  <si>
    <t>Mean</t>
  </si>
  <si>
    <t>SCARIDAE_2004</t>
  </si>
  <si>
    <t>SPA RAD</t>
  </si>
  <si>
    <t>EPINEPHELIDAE_2004</t>
  </si>
  <si>
    <t>Family</t>
  </si>
  <si>
    <t>Row Labels</t>
  </si>
  <si>
    <t>Labridae</t>
  </si>
  <si>
    <t>SCA_ZEL</t>
  </si>
  <si>
    <t>SPA_AXI</t>
  </si>
  <si>
    <t>SPA_FRO</t>
  </si>
  <si>
    <t>MYC_ACU</t>
  </si>
  <si>
    <t>Species</t>
  </si>
  <si>
    <t>Total occurences</t>
  </si>
  <si>
    <t>MYC_MAR</t>
  </si>
  <si>
    <t>Captura</t>
  </si>
  <si>
    <t>Esforço</t>
  </si>
  <si>
    <t>CPUE</t>
  </si>
  <si>
    <t>Med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</si>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</sst>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6" borderId="0" xfId="0" applyFont="1" applyFill="1"/>
    <xf numFmtId="0" fontId="4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0" borderId="3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7" borderId="0" xfId="0" applyFill="1"/>
    <xf numFmtId="0" fontId="0" fillId="7" borderId="1" xfId="0" applyFill="1" applyBorder="1"/>
    <xf numFmtId="0" fontId="0" fillId="7" borderId="2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4" fillId="8" borderId="7" xfId="0" applyFont="1" applyFill="1" applyBorder="1"/>
    <xf numFmtId="0" fontId="0" fillId="0" borderId="0" xfId="0" applyNumberFormat="1"/>
    <xf numFmtId="0" fontId="5" fillId="2" borderId="0" xfId="0" applyFont="1" applyFill="1"/>
    <xf numFmtId="0" fontId="0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2" fontId="0" fillId="0" borderId="0" xfId="0" applyNumberFormat="1" applyFont="1" applyFill="1" applyAlignment="1">
      <alignment horizontal="left"/>
    </xf>
    <xf numFmtId="0" fontId="0" fillId="9" borderId="0" xfId="0" applyFont="1" applyFill="1" applyAlignment="1">
      <alignment horizontal="left"/>
    </xf>
    <xf numFmtId="0" fontId="6" fillId="9" borderId="0" xfId="0" applyFont="1" applyFill="1" applyBorder="1" applyAlignment="1">
      <alignment horizontal="left"/>
    </xf>
  </cellXfs>
  <cellStyles count="9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4"/>
  <sheetViews>
    <sheetView tabSelected="1" workbookViewId="0">
      <selection activeCell="B13" sqref="B13"/>
    </sheetView>
  </sheetViews>
  <sheetFormatPr defaultColWidth="11" defaultRowHeight="15.75" x14ac:dyDescent="0.25"/>
  <cols>
    <col min="1" max="1" width="14" bestFit="1" customWidth="1"/>
    <col min="3" max="11" width="1.875" bestFit="1" customWidth="1"/>
    <col min="12" max="90" width="2.875" bestFit="1" customWidth="1"/>
    <col min="91" max="91" width="12.375" bestFit="1" customWidth="1"/>
    <col min="93" max="93" width="14" bestFit="1" customWidth="1"/>
  </cols>
  <sheetData>
    <row r="1" spans="1:93" x14ac:dyDescent="0.25">
      <c r="A1" t="s">
        <v>15</v>
      </c>
      <c r="B1" t="s">
        <v>16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4">
        <v>31</v>
      </c>
      <c r="AH1" s="4">
        <v>32</v>
      </c>
      <c r="AI1" s="4">
        <v>33</v>
      </c>
      <c r="AJ1" s="4">
        <v>34</v>
      </c>
      <c r="AK1" s="4">
        <v>35</v>
      </c>
      <c r="AL1" s="4">
        <v>36</v>
      </c>
      <c r="AM1" s="4">
        <v>37</v>
      </c>
      <c r="AN1" s="4">
        <v>38</v>
      </c>
      <c r="AO1" s="4">
        <v>39</v>
      </c>
      <c r="AP1" s="4">
        <v>40</v>
      </c>
      <c r="AQ1" s="4">
        <v>41</v>
      </c>
      <c r="AR1" s="4">
        <v>42</v>
      </c>
      <c r="AS1" s="4">
        <v>43</v>
      </c>
      <c r="AT1" s="4">
        <v>44</v>
      </c>
      <c r="AU1" s="4">
        <v>45</v>
      </c>
      <c r="AV1" s="4">
        <v>46</v>
      </c>
      <c r="AW1" s="4">
        <v>47</v>
      </c>
      <c r="AX1" s="4">
        <v>48</v>
      </c>
      <c r="AY1" s="4">
        <v>49</v>
      </c>
      <c r="AZ1" s="4">
        <v>50</v>
      </c>
      <c r="BA1" s="4">
        <v>51</v>
      </c>
      <c r="BB1" s="4">
        <v>52</v>
      </c>
      <c r="BC1" s="4">
        <v>53</v>
      </c>
      <c r="BD1" s="4">
        <v>54</v>
      </c>
      <c r="BE1" s="4">
        <v>55</v>
      </c>
      <c r="BF1" s="4">
        <v>56</v>
      </c>
      <c r="BG1" s="4">
        <v>57</v>
      </c>
      <c r="BH1" s="4">
        <v>58</v>
      </c>
      <c r="BI1" s="4">
        <v>59</v>
      </c>
      <c r="BJ1" s="4">
        <v>60</v>
      </c>
      <c r="BK1" s="4">
        <v>61</v>
      </c>
      <c r="BL1" s="4">
        <v>62</v>
      </c>
      <c r="BM1" s="4">
        <v>63</v>
      </c>
      <c r="BN1" s="4">
        <v>64</v>
      </c>
      <c r="BO1" s="4">
        <v>65</v>
      </c>
      <c r="BP1" s="4">
        <v>66</v>
      </c>
      <c r="BQ1" s="4">
        <v>67</v>
      </c>
      <c r="BR1" s="4">
        <v>68</v>
      </c>
      <c r="BS1" s="4">
        <v>69</v>
      </c>
      <c r="BT1" s="4">
        <v>70</v>
      </c>
      <c r="BU1" s="4">
        <v>71</v>
      </c>
      <c r="BV1" s="4">
        <v>72</v>
      </c>
      <c r="BW1" s="4">
        <v>73</v>
      </c>
      <c r="BX1" s="4">
        <v>74</v>
      </c>
      <c r="BY1" s="4">
        <v>75</v>
      </c>
      <c r="BZ1" s="4">
        <v>76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t="s">
        <v>17</v>
      </c>
      <c r="CN1" t="s">
        <v>18</v>
      </c>
    </row>
    <row r="2" spans="1:93" x14ac:dyDescent="0.25">
      <c r="A2" s="4" t="s">
        <v>13</v>
      </c>
      <c r="B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 s="4">
        <f>AVERAGE(C2:CL9)</f>
        <v>4.4096728307254626E-2</v>
      </c>
      <c r="CN2" s="4">
        <f>STDEV(C2:CL8)</f>
        <v>0.18989040812618463</v>
      </c>
      <c r="CO2" s="4" t="s">
        <v>13</v>
      </c>
    </row>
    <row r="3" spans="1:93" x14ac:dyDescent="0.25">
      <c r="A3" s="4" t="s">
        <v>13</v>
      </c>
      <c r="B3" s="1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 s="6">
        <f>AVERAGE(C9:CL14)</f>
        <v>0.38825757575757575</v>
      </c>
      <c r="CN3" s="6">
        <f>STDEV(C9:CL14)</f>
        <v>1.0629228230855885</v>
      </c>
      <c r="CO3" s="6" t="s">
        <v>14</v>
      </c>
    </row>
    <row r="4" spans="1:93" x14ac:dyDescent="0.25">
      <c r="A4" s="4" t="s">
        <v>13</v>
      </c>
      <c r="B4" s="1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3" x14ac:dyDescent="0.25">
      <c r="A5" s="4" t="s">
        <v>13</v>
      </c>
      <c r="B5" s="1" t="s">
        <v>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3" x14ac:dyDescent="0.25">
      <c r="A6" s="4" t="s">
        <v>13</v>
      </c>
      <c r="B6" s="2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3" x14ac:dyDescent="0.25">
      <c r="A7" s="4" t="s">
        <v>13</v>
      </c>
      <c r="B7" s="1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</row>
    <row r="8" spans="1:93" x14ac:dyDescent="0.25">
      <c r="A8" s="4" t="s">
        <v>13</v>
      </c>
      <c r="B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3" x14ac:dyDescent="0.25">
      <c r="A9" s="5" t="s">
        <v>14</v>
      </c>
      <c r="B9" s="1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3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3" x14ac:dyDescent="0.25">
      <c r="A10" s="5" t="s">
        <v>14</v>
      </c>
      <c r="B10" s="2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3" x14ac:dyDescent="0.25">
      <c r="A11" s="5" t="s">
        <v>14</v>
      </c>
      <c r="B11" s="2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3" x14ac:dyDescent="0.25">
      <c r="A12" s="5" t="s">
        <v>14</v>
      </c>
      <c r="B12" s="1" t="s">
        <v>10</v>
      </c>
      <c r="C12">
        <v>1</v>
      </c>
      <c r="D12">
        <v>2</v>
      </c>
      <c r="E12">
        <v>1</v>
      </c>
      <c r="F12">
        <v>0</v>
      </c>
      <c r="G12">
        <v>1</v>
      </c>
      <c r="H12">
        <v>3</v>
      </c>
      <c r="I12">
        <v>2</v>
      </c>
      <c r="J12">
        <v>2</v>
      </c>
      <c r="K12">
        <v>3</v>
      </c>
      <c r="L12">
        <v>5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2</v>
      </c>
      <c r="U12">
        <v>2</v>
      </c>
      <c r="V12">
        <v>4</v>
      </c>
      <c r="W12">
        <v>0</v>
      </c>
      <c r="X12">
        <v>0</v>
      </c>
      <c r="Y12">
        <v>0</v>
      </c>
      <c r="Z12">
        <v>4</v>
      </c>
      <c r="AA12">
        <v>8</v>
      </c>
      <c r="AB12">
        <v>3</v>
      </c>
      <c r="AC12">
        <v>0</v>
      </c>
      <c r="AD12">
        <v>0</v>
      </c>
      <c r="AE12">
        <v>0</v>
      </c>
      <c r="AF12">
        <v>1</v>
      </c>
      <c r="AG12">
        <v>2</v>
      </c>
      <c r="AH12">
        <v>0</v>
      </c>
      <c r="AI12">
        <v>4</v>
      </c>
      <c r="AJ12">
        <v>10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2</v>
      </c>
      <c r="AR12">
        <v>3</v>
      </c>
      <c r="AS12">
        <v>0</v>
      </c>
      <c r="AT12">
        <v>0</v>
      </c>
      <c r="AU12">
        <v>6</v>
      </c>
      <c r="AV12">
        <v>3</v>
      </c>
      <c r="AW12">
        <v>0</v>
      </c>
      <c r="AX12">
        <v>0</v>
      </c>
      <c r="AY12">
        <v>0</v>
      </c>
      <c r="AZ12">
        <v>3</v>
      </c>
      <c r="BA12">
        <v>3</v>
      </c>
      <c r="BB12">
        <v>1</v>
      </c>
      <c r="BC12">
        <v>1</v>
      </c>
      <c r="BD12">
        <v>1</v>
      </c>
      <c r="BE12">
        <v>2</v>
      </c>
      <c r="BF12">
        <v>3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0</v>
      </c>
    </row>
    <row r="13" spans="1:93" x14ac:dyDescent="0.25">
      <c r="A13" s="5" t="s">
        <v>14</v>
      </c>
      <c r="B13" s="1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</v>
      </c>
      <c r="M13">
        <v>2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5</v>
      </c>
      <c r="V13">
        <v>2</v>
      </c>
      <c r="W13">
        <v>1</v>
      </c>
      <c r="X13">
        <v>2</v>
      </c>
      <c r="Y13">
        <v>0</v>
      </c>
      <c r="Z13">
        <v>2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1</v>
      </c>
      <c r="AQ13">
        <v>2</v>
      </c>
      <c r="AR13">
        <v>0</v>
      </c>
      <c r="AS13">
        <v>3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4</v>
      </c>
      <c r="CD13">
        <v>3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2</v>
      </c>
      <c r="CK13">
        <v>0</v>
      </c>
      <c r="CL13">
        <v>1</v>
      </c>
    </row>
    <row r="14" spans="1:93" x14ac:dyDescent="0.25">
      <c r="A14" s="5" t="s">
        <v>14</v>
      </c>
      <c r="B14" s="3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1" sqref="B1"/>
    </sheetView>
  </sheetViews>
  <sheetFormatPr defaultRowHeight="15.75" x14ac:dyDescent="0.25"/>
  <cols>
    <col min="1" max="16384" width="9" style="2"/>
  </cols>
  <sheetData>
    <row r="1" spans="1:4" x14ac:dyDescent="0.25">
      <c r="A1" s="29"/>
      <c r="B1" s="30" t="s">
        <v>40</v>
      </c>
      <c r="C1" s="29" t="s">
        <v>41</v>
      </c>
      <c r="D1" s="30" t="s">
        <v>42</v>
      </c>
    </row>
    <row r="2" spans="1:4" x14ac:dyDescent="0.25">
      <c r="A2" s="26">
        <v>1992</v>
      </c>
      <c r="B2" s="27">
        <v>131463</v>
      </c>
      <c r="C2" s="27">
        <v>36427</v>
      </c>
      <c r="D2" s="28">
        <f t="shared" ref="D2:D18" si="0">B2/C2</f>
        <v>3.6089439152277158</v>
      </c>
    </row>
    <row r="3" spans="1:4" x14ac:dyDescent="0.25">
      <c r="A3" s="26">
        <v>1993</v>
      </c>
      <c r="B3" s="27">
        <v>381052</v>
      </c>
      <c r="C3" s="27">
        <v>52070</v>
      </c>
      <c r="D3" s="28">
        <f t="shared" si="0"/>
        <v>7.3180718263875555</v>
      </c>
    </row>
    <row r="4" spans="1:4" x14ac:dyDescent="0.25">
      <c r="A4" s="26">
        <v>1994</v>
      </c>
      <c r="B4" s="27">
        <v>361835</v>
      </c>
      <c r="C4" s="27">
        <v>62510</v>
      </c>
      <c r="D4" s="28">
        <f t="shared" si="0"/>
        <v>5.7884338505839068</v>
      </c>
    </row>
    <row r="5" spans="1:4" x14ac:dyDescent="0.25">
      <c r="A5" s="26">
        <v>1995</v>
      </c>
      <c r="B5" s="27">
        <v>362527</v>
      </c>
      <c r="C5" s="27">
        <v>47016</v>
      </c>
      <c r="D5" s="28">
        <f t="shared" si="0"/>
        <v>7.7107155011060069</v>
      </c>
    </row>
    <row r="6" spans="1:4" x14ac:dyDescent="0.25">
      <c r="A6" s="26">
        <v>1996</v>
      </c>
      <c r="B6" s="27">
        <v>284064</v>
      </c>
      <c r="C6" s="27">
        <v>20055</v>
      </c>
      <c r="D6" s="28">
        <f t="shared" si="0"/>
        <v>14.164248317127898</v>
      </c>
    </row>
    <row r="7" spans="1:4" x14ac:dyDescent="0.25">
      <c r="A7" s="26">
        <v>1997</v>
      </c>
      <c r="B7" s="27">
        <v>239263</v>
      </c>
      <c r="C7" s="27">
        <v>56522</v>
      </c>
      <c r="D7" s="28">
        <f t="shared" si="0"/>
        <v>4.2330950780227168</v>
      </c>
    </row>
    <row r="8" spans="1:4" x14ac:dyDescent="0.25">
      <c r="A8" s="26">
        <v>1998</v>
      </c>
      <c r="B8" s="27">
        <v>294735</v>
      </c>
      <c r="C8" s="27">
        <v>40323</v>
      </c>
      <c r="D8" s="28">
        <f t="shared" si="0"/>
        <v>7.3093519827393791</v>
      </c>
    </row>
    <row r="9" spans="1:4" x14ac:dyDescent="0.25">
      <c r="A9" s="26">
        <v>1999</v>
      </c>
      <c r="B9" s="27">
        <v>255904</v>
      </c>
      <c r="C9" s="27">
        <v>66155</v>
      </c>
      <c r="D9" s="28">
        <f t="shared" si="0"/>
        <v>3.8682488096137857</v>
      </c>
    </row>
    <row r="10" spans="1:4" x14ac:dyDescent="0.25">
      <c r="A10" s="26">
        <v>2000</v>
      </c>
      <c r="B10" s="27">
        <v>163642</v>
      </c>
      <c r="C10" s="27">
        <v>58061</v>
      </c>
      <c r="D10" s="28">
        <f t="shared" si="0"/>
        <v>2.8184495616679008</v>
      </c>
    </row>
    <row r="11" spans="1:4" x14ac:dyDescent="0.25">
      <c r="A11" s="26">
        <v>2001</v>
      </c>
      <c r="B11" s="27">
        <v>158623</v>
      </c>
      <c r="C11" s="27">
        <v>45058</v>
      </c>
      <c r="D11" s="28">
        <f t="shared" si="0"/>
        <v>3.5204181277464599</v>
      </c>
    </row>
    <row r="12" spans="1:4" x14ac:dyDescent="0.25">
      <c r="A12" s="26">
        <v>2002</v>
      </c>
      <c r="B12" s="27">
        <v>152847</v>
      </c>
      <c r="C12" s="27">
        <v>43089</v>
      </c>
      <c r="D12" s="28">
        <f t="shared" si="0"/>
        <v>3.5472394346584974</v>
      </c>
    </row>
    <row r="13" spans="1:4" x14ac:dyDescent="0.25">
      <c r="A13" s="26">
        <v>2003</v>
      </c>
      <c r="B13" s="27">
        <v>32790</v>
      </c>
      <c r="C13" s="27">
        <v>45935</v>
      </c>
      <c r="D13" s="28">
        <f t="shared" si="0"/>
        <v>0.71383476651790578</v>
      </c>
    </row>
    <row r="14" spans="1:4" x14ac:dyDescent="0.25">
      <c r="A14" s="26">
        <v>2004</v>
      </c>
      <c r="B14" s="27">
        <v>12394</v>
      </c>
      <c r="C14" s="27">
        <v>48076</v>
      </c>
      <c r="D14" s="28">
        <f t="shared" si="0"/>
        <v>0.25780014976287546</v>
      </c>
    </row>
    <row r="15" spans="1:4" x14ac:dyDescent="0.25">
      <c r="A15" s="26">
        <v>2005</v>
      </c>
      <c r="B15" s="27">
        <v>18455</v>
      </c>
      <c r="C15" s="27">
        <v>46253</v>
      </c>
      <c r="D15" s="28">
        <f t="shared" si="0"/>
        <v>0.39900114587161911</v>
      </c>
    </row>
    <row r="16" spans="1:4" x14ac:dyDescent="0.25">
      <c r="A16" s="26">
        <v>2006</v>
      </c>
      <c r="B16" s="27">
        <v>21753</v>
      </c>
      <c r="C16" s="27">
        <v>40682</v>
      </c>
      <c r="D16" s="28">
        <f t="shared" si="0"/>
        <v>0.53470822476771052</v>
      </c>
    </row>
    <row r="17" spans="1:4" x14ac:dyDescent="0.25">
      <c r="A17" s="26">
        <v>2007</v>
      </c>
      <c r="B17" s="27">
        <v>50436</v>
      </c>
      <c r="C17" s="27">
        <v>47215</v>
      </c>
      <c r="D17" s="28">
        <f t="shared" si="0"/>
        <v>1.0682198453881182</v>
      </c>
    </row>
    <row r="18" spans="1:4" x14ac:dyDescent="0.25">
      <c r="A18" s="26">
        <v>2008</v>
      </c>
      <c r="B18" s="27">
        <v>68772</v>
      </c>
      <c r="C18" s="27">
        <v>41660</v>
      </c>
      <c r="D18" s="28">
        <f t="shared" si="0"/>
        <v>1.6507921267402785</v>
      </c>
    </row>
    <row r="19" spans="1:4" x14ac:dyDescent="0.25">
      <c r="A19" s="26" t="s">
        <v>43</v>
      </c>
      <c r="B19" s="26">
        <f>AVERAGE(B2:B18)</f>
        <v>175915</v>
      </c>
      <c r="C19" s="26">
        <f>AVERAGE(C2:C18)</f>
        <v>46888.647058823532</v>
      </c>
      <c r="D19" s="26">
        <f>AVERAGE(D2:D18)</f>
        <v>4.0300925096429614</v>
      </c>
    </row>
    <row r="20" spans="1:4" x14ac:dyDescent="0.25">
      <c r="A20" s="26" t="s">
        <v>44</v>
      </c>
      <c r="B20" s="26">
        <f>MAX(B2:B18)</f>
        <v>381052</v>
      </c>
      <c r="C20" s="26">
        <f>MAX(C2:C18)</f>
        <v>66155</v>
      </c>
      <c r="D20" s="26">
        <f>MAX(D2:D18)</f>
        <v>14.164248317127898</v>
      </c>
    </row>
    <row r="21" spans="1:4" x14ac:dyDescent="0.25">
      <c r="A21" s="26" t="s">
        <v>45</v>
      </c>
      <c r="B21" s="26">
        <f>MIN(B2:B18)</f>
        <v>12394</v>
      </c>
      <c r="C21" s="26">
        <f>MIN(C2:C18)</f>
        <v>20055</v>
      </c>
      <c r="D21" s="26">
        <f>MIN(D2:D18)</f>
        <v>0.25780014976287546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0"/>
  <sheetViews>
    <sheetView workbookViewId="0">
      <selection activeCell="F20" sqref="F20"/>
    </sheetView>
  </sheetViews>
  <sheetFormatPr defaultColWidth="7.75" defaultRowHeight="15.75" x14ac:dyDescent="0.25"/>
  <cols>
    <col min="3" max="5" width="3.25" customWidth="1"/>
    <col min="6" max="6" width="3.5" customWidth="1"/>
    <col min="7" max="7" width="3.625" customWidth="1"/>
    <col min="8" max="11" width="3.25" customWidth="1"/>
    <col min="12" max="13" width="4.125" customWidth="1"/>
    <col min="14" max="90" width="3.25" customWidth="1"/>
  </cols>
  <sheetData>
    <row r="1" spans="1:93" x14ac:dyDescent="0.25">
      <c r="A1" t="s">
        <v>15</v>
      </c>
      <c r="B1" t="s">
        <v>16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4">
        <v>31</v>
      </c>
      <c r="AH1" s="4">
        <v>32</v>
      </c>
      <c r="AI1" s="4">
        <v>33</v>
      </c>
      <c r="AJ1" s="4">
        <v>34</v>
      </c>
      <c r="AK1" s="4">
        <v>35</v>
      </c>
      <c r="AL1" s="4">
        <v>36</v>
      </c>
      <c r="AM1" s="4">
        <v>37</v>
      </c>
      <c r="AN1" s="4">
        <v>38</v>
      </c>
      <c r="AO1" s="4">
        <v>39</v>
      </c>
      <c r="AP1" s="4">
        <v>40</v>
      </c>
      <c r="AQ1" s="4">
        <v>41</v>
      </c>
      <c r="AR1" s="4">
        <v>42</v>
      </c>
      <c r="AS1" s="4">
        <v>43</v>
      </c>
      <c r="AT1" s="4">
        <v>44</v>
      </c>
      <c r="AU1" s="4">
        <v>45</v>
      </c>
      <c r="AV1" s="4">
        <v>46</v>
      </c>
      <c r="AW1" s="4">
        <v>47</v>
      </c>
      <c r="AX1" s="4">
        <v>48</v>
      </c>
      <c r="AY1" s="4">
        <v>49</v>
      </c>
      <c r="AZ1" s="4">
        <v>50</v>
      </c>
      <c r="BA1" s="4">
        <v>51</v>
      </c>
      <c r="BB1" s="4">
        <v>52</v>
      </c>
      <c r="BC1" s="4">
        <v>53</v>
      </c>
      <c r="BD1" s="4">
        <v>54</v>
      </c>
      <c r="BE1" s="4">
        <v>55</v>
      </c>
      <c r="BF1" s="4">
        <v>56</v>
      </c>
      <c r="BG1" s="4">
        <v>57</v>
      </c>
      <c r="BH1" s="4">
        <v>58</v>
      </c>
      <c r="BI1" s="4">
        <v>59</v>
      </c>
      <c r="BJ1" s="4">
        <v>60</v>
      </c>
      <c r="BK1" s="4">
        <v>61</v>
      </c>
      <c r="BL1" s="4">
        <v>62</v>
      </c>
      <c r="BM1" s="4">
        <v>63</v>
      </c>
      <c r="BN1" s="4">
        <v>64</v>
      </c>
      <c r="BO1" s="4">
        <v>65</v>
      </c>
      <c r="BP1" s="4">
        <v>66</v>
      </c>
      <c r="BQ1" s="4">
        <v>67</v>
      </c>
      <c r="BR1" s="4">
        <v>68</v>
      </c>
      <c r="BS1" s="4">
        <v>69</v>
      </c>
      <c r="BT1" s="4">
        <v>70</v>
      </c>
      <c r="BU1" s="4">
        <v>71</v>
      </c>
      <c r="BV1" s="4">
        <v>72</v>
      </c>
      <c r="BW1" s="4">
        <v>73</v>
      </c>
      <c r="BX1" s="4">
        <v>74</v>
      </c>
      <c r="BY1" s="4">
        <v>75</v>
      </c>
      <c r="BZ1" s="4">
        <v>76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t="s">
        <v>17</v>
      </c>
      <c r="CN1" t="s">
        <v>18</v>
      </c>
    </row>
    <row r="2" spans="1:93" x14ac:dyDescent="0.25">
      <c r="A2" s="4" t="s">
        <v>13</v>
      </c>
      <c r="B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 s="4">
        <f>AVERAGE(C2:CL10)</f>
        <v>6.8268015170670035E-2</v>
      </c>
      <c r="CN2" s="4">
        <f>STDEV(C2:CL8)</f>
        <v>0.18989040812618463</v>
      </c>
      <c r="CO2" s="4" t="s">
        <v>13</v>
      </c>
    </row>
    <row r="3" spans="1:93" x14ac:dyDescent="0.25">
      <c r="A3" s="4" t="s">
        <v>13</v>
      </c>
      <c r="B3" s="1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 s="6">
        <f>AVERAGE(C10:CL15)</f>
        <v>0.38825757575757575</v>
      </c>
      <c r="CN3" s="6">
        <f>STDEV(C10:CL15)</f>
        <v>1.0629228230855885</v>
      </c>
      <c r="CO3" s="6" t="s">
        <v>14</v>
      </c>
    </row>
    <row r="4" spans="1:93" x14ac:dyDescent="0.25">
      <c r="A4" s="4" t="s">
        <v>13</v>
      </c>
      <c r="B4" s="1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3" x14ac:dyDescent="0.25">
      <c r="A5" s="4" t="s">
        <v>13</v>
      </c>
      <c r="B5" s="1" t="s">
        <v>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3" x14ac:dyDescent="0.25">
      <c r="A6" s="4" t="s">
        <v>13</v>
      </c>
      <c r="B6" s="2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3" x14ac:dyDescent="0.25">
      <c r="A7" s="4" t="s">
        <v>13</v>
      </c>
      <c r="B7" s="1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</row>
    <row r="8" spans="1:93" x14ac:dyDescent="0.25">
      <c r="A8" s="4" t="s">
        <v>13</v>
      </c>
      <c r="B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3" x14ac:dyDescent="0.25">
      <c r="A9" s="7" t="s">
        <v>13</v>
      </c>
      <c r="B9" s="1"/>
      <c r="C9" s="7">
        <f>SUM(C2:C8)</f>
        <v>0</v>
      </c>
      <c r="D9" s="7">
        <f t="shared" ref="D9:BO9" si="0">SUM(D2:D8)</f>
        <v>0</v>
      </c>
      <c r="E9" s="7">
        <f t="shared" si="0"/>
        <v>0</v>
      </c>
      <c r="F9" s="7">
        <f t="shared" si="0"/>
        <v>1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si="0"/>
        <v>0</v>
      </c>
      <c r="L9" s="7">
        <f t="shared" si="0"/>
        <v>0</v>
      </c>
      <c r="M9" s="7">
        <f t="shared" si="0"/>
        <v>0</v>
      </c>
      <c r="N9" s="7">
        <f t="shared" si="0"/>
        <v>1</v>
      </c>
      <c r="O9" s="7">
        <f t="shared" si="0"/>
        <v>1</v>
      </c>
      <c r="P9" s="7">
        <f t="shared" si="0"/>
        <v>0</v>
      </c>
      <c r="Q9" s="7">
        <f t="shared" si="0"/>
        <v>0</v>
      </c>
      <c r="R9" s="7">
        <f t="shared" si="0"/>
        <v>0</v>
      </c>
      <c r="S9" s="7">
        <f t="shared" si="0"/>
        <v>1</v>
      </c>
      <c r="T9" s="7">
        <f t="shared" si="0"/>
        <v>0</v>
      </c>
      <c r="U9" s="7">
        <f t="shared" si="0"/>
        <v>0</v>
      </c>
      <c r="V9" s="7">
        <f t="shared" si="0"/>
        <v>0</v>
      </c>
      <c r="W9" s="7">
        <f t="shared" si="0"/>
        <v>0</v>
      </c>
      <c r="X9" s="7">
        <f t="shared" si="0"/>
        <v>0</v>
      </c>
      <c r="Y9" s="7">
        <f t="shared" si="0"/>
        <v>1</v>
      </c>
      <c r="Z9" s="7">
        <f t="shared" si="0"/>
        <v>0</v>
      </c>
      <c r="AA9" s="7">
        <f t="shared" si="0"/>
        <v>1</v>
      </c>
      <c r="AB9" s="7">
        <f t="shared" si="0"/>
        <v>1</v>
      </c>
      <c r="AC9" s="7">
        <f t="shared" si="0"/>
        <v>1</v>
      </c>
      <c r="AD9" s="7">
        <f t="shared" si="0"/>
        <v>1</v>
      </c>
      <c r="AE9" s="7">
        <f t="shared" si="0"/>
        <v>0</v>
      </c>
      <c r="AF9" s="7">
        <f t="shared" si="0"/>
        <v>0</v>
      </c>
      <c r="AG9" s="7">
        <f t="shared" si="0"/>
        <v>0</v>
      </c>
      <c r="AH9" s="7">
        <f t="shared" si="0"/>
        <v>0</v>
      </c>
      <c r="AI9" s="7">
        <f t="shared" si="0"/>
        <v>0</v>
      </c>
      <c r="AJ9" s="7">
        <f t="shared" si="0"/>
        <v>0</v>
      </c>
      <c r="AK9" s="7">
        <f t="shared" si="0"/>
        <v>1</v>
      </c>
      <c r="AL9" s="7">
        <f t="shared" si="0"/>
        <v>0</v>
      </c>
      <c r="AM9" s="7">
        <f t="shared" si="0"/>
        <v>1</v>
      </c>
      <c r="AN9" s="7">
        <f t="shared" si="0"/>
        <v>0</v>
      </c>
      <c r="AO9" s="7">
        <f t="shared" si="0"/>
        <v>0</v>
      </c>
      <c r="AP9" s="7">
        <f t="shared" si="0"/>
        <v>0</v>
      </c>
      <c r="AQ9" s="7">
        <f t="shared" si="0"/>
        <v>0</v>
      </c>
      <c r="AR9" s="7">
        <f t="shared" si="0"/>
        <v>0</v>
      </c>
      <c r="AS9" s="7">
        <f t="shared" si="0"/>
        <v>0</v>
      </c>
      <c r="AT9" s="7">
        <f t="shared" si="0"/>
        <v>0</v>
      </c>
      <c r="AU9" s="7">
        <f t="shared" si="0"/>
        <v>0</v>
      </c>
      <c r="AV9" s="7">
        <f t="shared" si="0"/>
        <v>0</v>
      </c>
      <c r="AW9" s="7">
        <f t="shared" si="0"/>
        <v>0</v>
      </c>
      <c r="AX9" s="7">
        <f t="shared" si="0"/>
        <v>0</v>
      </c>
      <c r="AY9" s="7">
        <f t="shared" si="0"/>
        <v>0</v>
      </c>
      <c r="AZ9" s="7">
        <f t="shared" si="0"/>
        <v>1</v>
      </c>
      <c r="BA9" s="7">
        <f t="shared" si="0"/>
        <v>0</v>
      </c>
      <c r="BB9" s="7">
        <f t="shared" si="0"/>
        <v>0</v>
      </c>
      <c r="BC9" s="7">
        <f t="shared" si="0"/>
        <v>0</v>
      </c>
      <c r="BD9" s="7">
        <f t="shared" si="0"/>
        <v>0</v>
      </c>
      <c r="BE9" s="7">
        <f t="shared" si="0"/>
        <v>0</v>
      </c>
      <c r="BF9" s="7">
        <f t="shared" si="0"/>
        <v>0</v>
      </c>
      <c r="BG9" s="7">
        <f t="shared" si="0"/>
        <v>0</v>
      </c>
      <c r="BH9" s="7">
        <f t="shared" si="0"/>
        <v>0</v>
      </c>
      <c r="BI9" s="7">
        <f t="shared" si="0"/>
        <v>0</v>
      </c>
      <c r="BJ9" s="7">
        <f t="shared" si="0"/>
        <v>0</v>
      </c>
      <c r="BK9" s="7">
        <f t="shared" si="0"/>
        <v>1</v>
      </c>
      <c r="BL9" s="7">
        <f t="shared" si="0"/>
        <v>1</v>
      </c>
      <c r="BM9" s="7">
        <f t="shared" si="0"/>
        <v>0</v>
      </c>
      <c r="BN9" s="7">
        <f t="shared" si="0"/>
        <v>0</v>
      </c>
      <c r="BO9" s="7">
        <f t="shared" si="0"/>
        <v>0</v>
      </c>
      <c r="BP9" s="7">
        <f t="shared" ref="BP9:CL9" si="1">SUM(BP2:BP8)</f>
        <v>0</v>
      </c>
      <c r="BQ9" s="7">
        <f t="shared" si="1"/>
        <v>0</v>
      </c>
      <c r="BR9" s="7">
        <f t="shared" si="1"/>
        <v>1</v>
      </c>
      <c r="BS9" s="7">
        <f t="shared" si="1"/>
        <v>0</v>
      </c>
      <c r="BT9" s="7">
        <f t="shared" si="1"/>
        <v>2</v>
      </c>
      <c r="BU9" s="7">
        <f t="shared" si="1"/>
        <v>0</v>
      </c>
      <c r="BV9" s="7">
        <f t="shared" si="1"/>
        <v>0</v>
      </c>
      <c r="BW9" s="7">
        <f t="shared" si="1"/>
        <v>2</v>
      </c>
      <c r="BX9" s="7">
        <f t="shared" si="1"/>
        <v>1</v>
      </c>
      <c r="BY9" s="7">
        <f t="shared" si="1"/>
        <v>1</v>
      </c>
      <c r="BZ9" s="7">
        <f t="shared" si="1"/>
        <v>0</v>
      </c>
      <c r="CA9" s="7">
        <f t="shared" si="1"/>
        <v>0</v>
      </c>
      <c r="CB9" s="7">
        <f t="shared" si="1"/>
        <v>0</v>
      </c>
      <c r="CC9" s="7">
        <f t="shared" si="1"/>
        <v>0</v>
      </c>
      <c r="CD9" s="7">
        <f t="shared" si="1"/>
        <v>0</v>
      </c>
      <c r="CE9" s="7">
        <f t="shared" si="1"/>
        <v>0</v>
      </c>
      <c r="CF9" s="7">
        <f t="shared" si="1"/>
        <v>0</v>
      </c>
      <c r="CG9" s="7">
        <f t="shared" si="1"/>
        <v>1</v>
      </c>
      <c r="CH9" s="7">
        <f t="shared" si="1"/>
        <v>1</v>
      </c>
      <c r="CI9" s="7">
        <f t="shared" si="1"/>
        <v>0</v>
      </c>
      <c r="CJ9" s="7">
        <f t="shared" si="1"/>
        <v>0</v>
      </c>
      <c r="CK9" s="7">
        <f t="shared" si="1"/>
        <v>0</v>
      </c>
      <c r="CL9" s="7">
        <f t="shared" si="1"/>
        <v>0</v>
      </c>
      <c r="CM9" s="8">
        <f>AVERAGE(C9:CL9)</f>
        <v>0.26136363636363635</v>
      </c>
      <c r="CN9" s="8">
        <f>STDEV(C9:CL9)</f>
        <v>0.49117073796685068</v>
      </c>
      <c r="CO9" s="9" t="s">
        <v>19</v>
      </c>
    </row>
    <row r="10" spans="1:93" x14ac:dyDescent="0.25">
      <c r="A10" s="5" t="s">
        <v>14</v>
      </c>
      <c r="B10" s="1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3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3" x14ac:dyDescent="0.25">
      <c r="A11" s="5" t="s">
        <v>14</v>
      </c>
      <c r="B11" s="2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3" x14ac:dyDescent="0.25">
      <c r="A12" s="5" t="s">
        <v>14</v>
      </c>
      <c r="B12" s="2" t="s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3" x14ac:dyDescent="0.25">
      <c r="A13" s="5" t="s">
        <v>14</v>
      </c>
      <c r="B13" s="1" t="s">
        <v>10</v>
      </c>
      <c r="C13">
        <v>1</v>
      </c>
      <c r="D13">
        <v>2</v>
      </c>
      <c r="E13">
        <v>1</v>
      </c>
      <c r="F13">
        <v>0</v>
      </c>
      <c r="G13">
        <v>1</v>
      </c>
      <c r="H13">
        <v>3</v>
      </c>
      <c r="I13">
        <v>2</v>
      </c>
      <c r="J13">
        <v>2</v>
      </c>
      <c r="K13">
        <v>3</v>
      </c>
      <c r="L13">
        <v>5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2</v>
      </c>
      <c r="U13">
        <v>2</v>
      </c>
      <c r="V13">
        <v>4</v>
      </c>
      <c r="W13">
        <v>0</v>
      </c>
      <c r="X13">
        <v>0</v>
      </c>
      <c r="Y13">
        <v>0</v>
      </c>
      <c r="Z13">
        <v>4</v>
      </c>
      <c r="AA13">
        <v>8</v>
      </c>
      <c r="AB13">
        <v>3</v>
      </c>
      <c r="AC13">
        <v>0</v>
      </c>
      <c r="AD13">
        <v>0</v>
      </c>
      <c r="AE13">
        <v>0</v>
      </c>
      <c r="AF13">
        <v>1</v>
      </c>
      <c r="AG13">
        <v>2</v>
      </c>
      <c r="AH13">
        <v>0</v>
      </c>
      <c r="AI13">
        <v>4</v>
      </c>
      <c r="AJ13">
        <v>10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2</v>
      </c>
      <c r="AR13">
        <v>3</v>
      </c>
      <c r="AS13">
        <v>0</v>
      </c>
      <c r="AT13">
        <v>0</v>
      </c>
      <c r="AU13">
        <v>6</v>
      </c>
      <c r="AV13">
        <v>3</v>
      </c>
      <c r="AW13">
        <v>0</v>
      </c>
      <c r="AX13">
        <v>0</v>
      </c>
      <c r="AY13">
        <v>0</v>
      </c>
      <c r="AZ13">
        <v>3</v>
      </c>
      <c r="BA13">
        <v>3</v>
      </c>
      <c r="BB13">
        <v>1</v>
      </c>
      <c r="BC13">
        <v>1</v>
      </c>
      <c r="BD13">
        <v>1</v>
      </c>
      <c r="BE13">
        <v>2</v>
      </c>
      <c r="BF13">
        <v>3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1</v>
      </c>
      <c r="CL13">
        <v>0</v>
      </c>
    </row>
    <row r="14" spans="1:93" x14ac:dyDescent="0.25">
      <c r="A14" s="5" t="s">
        <v>14</v>
      </c>
      <c r="B14" s="1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</v>
      </c>
      <c r="M14">
        <v>2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2</v>
      </c>
      <c r="W14">
        <v>1</v>
      </c>
      <c r="X14">
        <v>2</v>
      </c>
      <c r="Y14">
        <v>0</v>
      </c>
      <c r="Z14">
        <v>2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1</v>
      </c>
      <c r="AQ14">
        <v>2</v>
      </c>
      <c r="AR14">
        <v>0</v>
      </c>
      <c r="AS14">
        <v>3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3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4</v>
      </c>
      <c r="CD14">
        <v>3</v>
      </c>
      <c r="CE14">
        <v>1</v>
      </c>
      <c r="CF14">
        <v>1</v>
      </c>
      <c r="CG14">
        <v>0</v>
      </c>
      <c r="CH14">
        <v>0</v>
      </c>
      <c r="CI14">
        <v>0</v>
      </c>
      <c r="CJ14">
        <v>2</v>
      </c>
      <c r="CK14">
        <v>0</v>
      </c>
      <c r="CL14">
        <v>1</v>
      </c>
    </row>
    <row r="15" spans="1:93" x14ac:dyDescent="0.25">
      <c r="A15" s="5" t="s">
        <v>14</v>
      </c>
      <c r="B15" s="3" t="s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3" x14ac:dyDescent="0.25">
      <c r="A16" s="7" t="s">
        <v>20</v>
      </c>
      <c r="B16" s="7"/>
      <c r="C16" s="7">
        <f>SUM(C10:C15)</f>
        <v>1</v>
      </c>
      <c r="D16" s="7">
        <f t="shared" ref="D16:BO16" si="2">SUM(D10:D15)</f>
        <v>2</v>
      </c>
      <c r="E16" s="7">
        <f t="shared" si="2"/>
        <v>1</v>
      </c>
      <c r="F16" s="7">
        <f t="shared" si="2"/>
        <v>0</v>
      </c>
      <c r="G16" s="7">
        <f t="shared" si="2"/>
        <v>1</v>
      </c>
      <c r="H16" s="7">
        <f t="shared" si="2"/>
        <v>3</v>
      </c>
      <c r="I16" s="7">
        <f t="shared" si="2"/>
        <v>2</v>
      </c>
      <c r="J16" s="7">
        <f t="shared" si="2"/>
        <v>2</v>
      </c>
      <c r="K16" s="7">
        <f t="shared" si="2"/>
        <v>3</v>
      </c>
      <c r="L16" s="7">
        <f t="shared" si="2"/>
        <v>13</v>
      </c>
      <c r="M16" s="7">
        <f t="shared" si="2"/>
        <v>2</v>
      </c>
      <c r="N16" s="7">
        <f t="shared" si="2"/>
        <v>1</v>
      </c>
      <c r="O16" s="7">
        <f t="shared" si="2"/>
        <v>2</v>
      </c>
      <c r="P16" s="7">
        <f t="shared" si="2"/>
        <v>1</v>
      </c>
      <c r="Q16" s="7">
        <f t="shared" si="2"/>
        <v>1</v>
      </c>
      <c r="R16" s="7">
        <f t="shared" si="2"/>
        <v>1</v>
      </c>
      <c r="S16" s="7">
        <f t="shared" si="2"/>
        <v>1</v>
      </c>
      <c r="T16" s="7">
        <f t="shared" si="2"/>
        <v>7</v>
      </c>
      <c r="U16" s="7">
        <f t="shared" si="2"/>
        <v>8</v>
      </c>
      <c r="V16" s="7">
        <f t="shared" si="2"/>
        <v>6</v>
      </c>
      <c r="W16" s="7">
        <f t="shared" si="2"/>
        <v>1</v>
      </c>
      <c r="X16" s="7">
        <f t="shared" si="2"/>
        <v>2</v>
      </c>
      <c r="Y16" s="7">
        <f t="shared" si="2"/>
        <v>0</v>
      </c>
      <c r="Z16" s="7">
        <f t="shared" si="2"/>
        <v>6</v>
      </c>
      <c r="AA16" s="7">
        <f t="shared" si="2"/>
        <v>9</v>
      </c>
      <c r="AB16" s="7">
        <f t="shared" si="2"/>
        <v>5</v>
      </c>
      <c r="AC16" s="7">
        <f t="shared" si="2"/>
        <v>1</v>
      </c>
      <c r="AD16" s="7">
        <f t="shared" si="2"/>
        <v>0</v>
      </c>
      <c r="AE16" s="7">
        <f t="shared" si="2"/>
        <v>1</v>
      </c>
      <c r="AF16" s="7">
        <f t="shared" si="2"/>
        <v>1</v>
      </c>
      <c r="AG16" s="7">
        <f t="shared" si="2"/>
        <v>2</v>
      </c>
      <c r="AH16" s="7">
        <f t="shared" si="2"/>
        <v>1</v>
      </c>
      <c r="AI16" s="7">
        <f t="shared" si="2"/>
        <v>5</v>
      </c>
      <c r="AJ16" s="7">
        <f t="shared" si="2"/>
        <v>10</v>
      </c>
      <c r="AK16" s="7">
        <f t="shared" si="2"/>
        <v>0</v>
      </c>
      <c r="AL16" s="7">
        <f t="shared" si="2"/>
        <v>1</v>
      </c>
      <c r="AM16" s="7">
        <f t="shared" si="2"/>
        <v>0</v>
      </c>
      <c r="AN16" s="7">
        <f t="shared" si="2"/>
        <v>1</v>
      </c>
      <c r="AO16" s="7">
        <f t="shared" si="2"/>
        <v>4</v>
      </c>
      <c r="AP16" s="7">
        <f t="shared" si="2"/>
        <v>2</v>
      </c>
      <c r="AQ16" s="7">
        <f t="shared" si="2"/>
        <v>6</v>
      </c>
      <c r="AR16" s="7">
        <f t="shared" si="2"/>
        <v>3</v>
      </c>
      <c r="AS16" s="7">
        <f t="shared" si="2"/>
        <v>3</v>
      </c>
      <c r="AT16" s="7">
        <f t="shared" si="2"/>
        <v>1</v>
      </c>
      <c r="AU16" s="7">
        <f t="shared" si="2"/>
        <v>6</v>
      </c>
      <c r="AV16" s="7">
        <f t="shared" si="2"/>
        <v>3</v>
      </c>
      <c r="AW16" s="7">
        <f t="shared" si="2"/>
        <v>5</v>
      </c>
      <c r="AX16" s="7">
        <f t="shared" si="2"/>
        <v>3</v>
      </c>
      <c r="AY16" s="7">
        <f t="shared" si="2"/>
        <v>3</v>
      </c>
      <c r="AZ16" s="7">
        <f t="shared" si="2"/>
        <v>4</v>
      </c>
      <c r="BA16" s="7">
        <f t="shared" si="2"/>
        <v>3</v>
      </c>
      <c r="BB16" s="7">
        <f t="shared" si="2"/>
        <v>2</v>
      </c>
      <c r="BC16" s="7">
        <f t="shared" si="2"/>
        <v>4</v>
      </c>
      <c r="BD16" s="7">
        <f t="shared" si="2"/>
        <v>2</v>
      </c>
      <c r="BE16" s="7">
        <f t="shared" si="2"/>
        <v>3</v>
      </c>
      <c r="BF16" s="7">
        <f t="shared" si="2"/>
        <v>4</v>
      </c>
      <c r="BG16" s="7">
        <f t="shared" si="2"/>
        <v>1</v>
      </c>
      <c r="BH16" s="7">
        <f t="shared" si="2"/>
        <v>1</v>
      </c>
      <c r="BI16" s="7">
        <f t="shared" si="2"/>
        <v>1</v>
      </c>
      <c r="BJ16" s="7">
        <f t="shared" si="2"/>
        <v>1</v>
      </c>
      <c r="BK16" s="7">
        <f t="shared" si="2"/>
        <v>0</v>
      </c>
      <c r="BL16" s="7">
        <f t="shared" si="2"/>
        <v>0</v>
      </c>
      <c r="BM16" s="7">
        <f t="shared" si="2"/>
        <v>1</v>
      </c>
      <c r="BN16" s="7">
        <f t="shared" si="2"/>
        <v>1</v>
      </c>
      <c r="BO16" s="7">
        <f t="shared" si="2"/>
        <v>1</v>
      </c>
      <c r="BP16" s="7">
        <f t="shared" ref="BP16:CL16" si="3">SUM(BP10:BP15)</f>
        <v>1</v>
      </c>
      <c r="BQ16" s="7">
        <f t="shared" si="3"/>
        <v>5</v>
      </c>
      <c r="BR16" s="7">
        <f t="shared" si="3"/>
        <v>1</v>
      </c>
      <c r="BS16" s="7">
        <f t="shared" si="3"/>
        <v>1</v>
      </c>
      <c r="BT16" s="7">
        <f t="shared" si="3"/>
        <v>0</v>
      </c>
      <c r="BU16" s="7">
        <f t="shared" si="3"/>
        <v>1</v>
      </c>
      <c r="BV16" s="7">
        <f t="shared" si="3"/>
        <v>3</v>
      </c>
      <c r="BW16" s="7">
        <f t="shared" si="3"/>
        <v>1</v>
      </c>
      <c r="BX16" s="7">
        <f t="shared" si="3"/>
        <v>0</v>
      </c>
      <c r="BY16" s="7">
        <f t="shared" si="3"/>
        <v>0</v>
      </c>
      <c r="BZ16" s="7">
        <f t="shared" si="3"/>
        <v>1</v>
      </c>
      <c r="CA16" s="7">
        <f t="shared" si="3"/>
        <v>1</v>
      </c>
      <c r="CB16" s="7">
        <f t="shared" si="3"/>
        <v>1</v>
      </c>
      <c r="CC16" s="7">
        <f t="shared" si="3"/>
        <v>7</v>
      </c>
      <c r="CD16" s="7">
        <f t="shared" si="3"/>
        <v>3</v>
      </c>
      <c r="CE16" s="7">
        <f t="shared" si="3"/>
        <v>1</v>
      </c>
      <c r="CF16" s="7">
        <f t="shared" si="3"/>
        <v>1</v>
      </c>
      <c r="CG16" s="7">
        <f t="shared" si="3"/>
        <v>0</v>
      </c>
      <c r="CH16" s="7">
        <f t="shared" si="3"/>
        <v>0</v>
      </c>
      <c r="CI16" s="7">
        <f t="shared" si="3"/>
        <v>1</v>
      </c>
      <c r="CJ16" s="7">
        <f t="shared" si="3"/>
        <v>2</v>
      </c>
      <c r="CK16" s="7">
        <f t="shared" si="3"/>
        <v>1</v>
      </c>
      <c r="CL16" s="7">
        <f t="shared" si="3"/>
        <v>1</v>
      </c>
      <c r="CM16" s="8">
        <f>AVERAGE(C16:CL16)</f>
        <v>2.3295454545454546</v>
      </c>
      <c r="CN16" s="8">
        <f>STDEV(C16:CL16)</f>
        <v>2.4481829570139531</v>
      </c>
      <c r="CO16" s="10" t="s">
        <v>21</v>
      </c>
    </row>
    <row r="22" spans="1:14" ht="16.5" thickBot="1" x14ac:dyDescent="0.3"/>
    <row r="23" spans="1:14" x14ac:dyDescent="0.25">
      <c r="A23" s="6" t="s">
        <v>16</v>
      </c>
      <c r="B23" s="6" t="s">
        <v>22</v>
      </c>
      <c r="C23" s="6" t="s">
        <v>23</v>
      </c>
      <c r="D23" s="6" t="s">
        <v>24</v>
      </c>
      <c r="E23" s="6" t="s">
        <v>25</v>
      </c>
      <c r="F23" s="11" t="s">
        <v>26</v>
      </c>
      <c r="G23" s="12" t="s">
        <v>18</v>
      </c>
      <c r="H23" s="13"/>
    </row>
    <row r="24" spans="1:14" ht="16.5" thickBot="1" x14ac:dyDescent="0.3">
      <c r="A24" t="s">
        <v>10</v>
      </c>
      <c r="B24">
        <v>0.54794520547945202</v>
      </c>
      <c r="C24">
        <v>0.609375</v>
      </c>
      <c r="D24">
        <v>0.3125</v>
      </c>
      <c r="E24">
        <v>6.1538461538461542E-2</v>
      </c>
      <c r="F24" s="14">
        <v>0.11011297136083095</v>
      </c>
      <c r="G24" s="15">
        <v>0.1609821204446972</v>
      </c>
      <c r="H24" s="16" t="s">
        <v>27</v>
      </c>
    </row>
    <row r="25" spans="1:14" x14ac:dyDescent="0.25">
      <c r="A25" t="s">
        <v>11</v>
      </c>
      <c r="B25">
        <v>0.21917808219178081</v>
      </c>
      <c r="C25">
        <v>0.296875</v>
      </c>
      <c r="D25">
        <v>0.1875</v>
      </c>
      <c r="E25">
        <v>0.2153846153846154</v>
      </c>
      <c r="L25" t="s">
        <v>17</v>
      </c>
      <c r="M25" t="s">
        <v>18</v>
      </c>
    </row>
    <row r="26" spans="1:14" x14ac:dyDescent="0.25">
      <c r="A26" t="s">
        <v>9</v>
      </c>
      <c r="B26">
        <v>9.5890410958904104E-2</v>
      </c>
      <c r="C26">
        <v>0</v>
      </c>
      <c r="D26">
        <v>4.6875E-2</v>
      </c>
      <c r="E26">
        <v>0</v>
      </c>
      <c r="L26" s="4">
        <v>4.4096728307254626E-2</v>
      </c>
      <c r="M26" s="4">
        <v>0.18989040812618463</v>
      </c>
      <c r="N26" s="4" t="s">
        <v>13</v>
      </c>
    </row>
    <row r="27" spans="1:14" x14ac:dyDescent="0.25">
      <c r="A27" t="s">
        <v>28</v>
      </c>
      <c r="B27">
        <v>8.2191780821917804E-2</v>
      </c>
      <c r="C27">
        <v>0</v>
      </c>
      <c r="D27">
        <v>0</v>
      </c>
      <c r="E27">
        <v>0</v>
      </c>
      <c r="L27" s="6">
        <v>0.38825757575757575</v>
      </c>
      <c r="M27" s="6">
        <v>1.0629228230855885</v>
      </c>
      <c r="N27" s="6" t="s">
        <v>14</v>
      </c>
    </row>
    <row r="28" spans="1:14" x14ac:dyDescent="0.25">
      <c r="A28" t="s">
        <v>8</v>
      </c>
      <c r="B28">
        <v>6.8493150684931503E-2</v>
      </c>
      <c r="C28">
        <v>0</v>
      </c>
      <c r="D28">
        <v>0</v>
      </c>
      <c r="E28">
        <v>3.0769230769230771E-2</v>
      </c>
    </row>
    <row r="29" spans="1:14" x14ac:dyDescent="0.25">
      <c r="A29" t="s">
        <v>12</v>
      </c>
      <c r="B29">
        <v>2.7397260273972601E-2</v>
      </c>
      <c r="C29">
        <v>9.375E-2</v>
      </c>
      <c r="D29">
        <v>3.125E-2</v>
      </c>
      <c r="E29">
        <v>0</v>
      </c>
    </row>
    <row r="30" spans="1:14" x14ac:dyDescent="0.25">
      <c r="A30" t="s">
        <v>7</v>
      </c>
      <c r="B30">
        <v>0</v>
      </c>
      <c r="C30">
        <v>4.6875E-2</v>
      </c>
      <c r="D30">
        <v>0.109375</v>
      </c>
      <c r="E30">
        <v>0</v>
      </c>
    </row>
    <row r="35" spans="1:8" ht="16.5" thickBot="1" x14ac:dyDescent="0.3"/>
    <row r="36" spans="1:8" x14ac:dyDescent="0.25">
      <c r="A36" s="17" t="s">
        <v>16</v>
      </c>
      <c r="B36" s="17" t="s">
        <v>22</v>
      </c>
      <c r="C36" s="17" t="s">
        <v>23</v>
      </c>
      <c r="D36" s="17" t="s">
        <v>24</v>
      </c>
      <c r="E36" s="17" t="s">
        <v>25</v>
      </c>
      <c r="F36" s="18" t="s">
        <v>26</v>
      </c>
      <c r="G36" s="19" t="s">
        <v>18</v>
      </c>
      <c r="H36" s="13"/>
    </row>
    <row r="37" spans="1:8" ht="16.5" thickBot="1" x14ac:dyDescent="0.3">
      <c r="A37" t="s">
        <v>3</v>
      </c>
      <c r="B37">
        <v>5.4794520547945202E-2</v>
      </c>
      <c r="C37">
        <v>9.375E-2</v>
      </c>
      <c r="D37">
        <v>0</v>
      </c>
      <c r="E37">
        <v>3.0769230769230771E-2</v>
      </c>
      <c r="F37" s="20">
        <v>2.9581302687038988E-2</v>
      </c>
      <c r="G37" s="21">
        <v>3.6333520346703264E-2</v>
      </c>
      <c r="H37" s="22" t="s">
        <v>29</v>
      </c>
    </row>
    <row r="38" spans="1:8" x14ac:dyDescent="0.25">
      <c r="A38" t="s">
        <v>0</v>
      </c>
      <c r="B38">
        <v>1.3698630136986301E-2</v>
      </c>
      <c r="C38">
        <v>0</v>
      </c>
      <c r="D38">
        <v>3.125E-2</v>
      </c>
      <c r="E38">
        <v>0</v>
      </c>
    </row>
    <row r="39" spans="1:8" x14ac:dyDescent="0.25">
      <c r="A39" t="s">
        <v>5</v>
      </c>
      <c r="B39">
        <v>0</v>
      </c>
      <c r="C39">
        <v>6.25E-2</v>
      </c>
      <c r="D39">
        <v>0.109375</v>
      </c>
      <c r="E39">
        <v>6.1538461538461542E-2</v>
      </c>
    </row>
    <row r="40" spans="1:8" x14ac:dyDescent="0.25">
      <c r="A40" t="s">
        <v>6</v>
      </c>
      <c r="B40">
        <v>0</v>
      </c>
      <c r="C40">
        <v>0</v>
      </c>
      <c r="D40">
        <v>1.5625E-2</v>
      </c>
      <c r="E40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"/>
  <sheetViews>
    <sheetView workbookViewId="0">
      <selection activeCell="H1" sqref="H1:H1048576"/>
    </sheetView>
  </sheetViews>
  <sheetFormatPr defaultRowHeight="15.75" x14ac:dyDescent="0.25"/>
  <cols>
    <col min="3" max="33" width="2.625" bestFit="1" customWidth="1"/>
    <col min="34" max="34" width="2.875" bestFit="1" customWidth="1"/>
    <col min="35" max="53" width="2.625" bestFit="1" customWidth="1"/>
    <col min="54" max="54" width="2.875" bestFit="1" customWidth="1"/>
    <col min="55" max="57" width="2.625" bestFit="1" customWidth="1"/>
  </cols>
  <sheetData>
    <row r="1" spans="1:62" s="4" customFormat="1" x14ac:dyDescent="0.25">
      <c r="A1" s="4" t="s">
        <v>30</v>
      </c>
      <c r="B1" s="23" t="s">
        <v>31</v>
      </c>
      <c r="C1" s="23">
        <v>21</v>
      </c>
      <c r="D1" s="23">
        <v>22</v>
      </c>
      <c r="E1" s="23">
        <v>23</v>
      </c>
      <c r="F1" s="23">
        <v>24</v>
      </c>
      <c r="G1" s="23">
        <v>25</v>
      </c>
      <c r="H1" s="23">
        <v>26</v>
      </c>
      <c r="I1" s="23">
        <v>27</v>
      </c>
      <c r="J1" s="23">
        <v>28</v>
      </c>
      <c r="K1" s="23">
        <v>29</v>
      </c>
      <c r="L1" s="23">
        <v>30</v>
      </c>
      <c r="M1" s="23">
        <v>31</v>
      </c>
      <c r="N1" s="23">
        <v>32</v>
      </c>
      <c r="O1" s="23">
        <v>33</v>
      </c>
      <c r="P1" s="23">
        <v>34</v>
      </c>
      <c r="Q1" s="23">
        <v>35</v>
      </c>
      <c r="R1" s="23">
        <v>36</v>
      </c>
      <c r="S1" s="23">
        <v>37</v>
      </c>
      <c r="T1" s="23">
        <v>38</v>
      </c>
      <c r="U1" s="23">
        <v>39</v>
      </c>
      <c r="V1" s="23">
        <v>40</v>
      </c>
      <c r="W1" s="23">
        <v>41</v>
      </c>
      <c r="X1" s="23">
        <v>42</v>
      </c>
      <c r="Y1" s="23">
        <v>43</v>
      </c>
      <c r="Z1" s="23">
        <v>44</v>
      </c>
      <c r="AA1" s="23">
        <v>45</v>
      </c>
      <c r="AB1" s="23">
        <v>46</v>
      </c>
      <c r="AC1" s="23">
        <v>47</v>
      </c>
      <c r="AD1" s="23">
        <v>48</v>
      </c>
      <c r="AE1" s="23">
        <v>49</v>
      </c>
      <c r="AF1" s="23">
        <v>50</v>
      </c>
      <c r="AG1" s="23">
        <v>51</v>
      </c>
      <c r="AH1" s="23">
        <v>52</v>
      </c>
      <c r="AI1" s="23">
        <v>53</v>
      </c>
      <c r="AJ1" s="23">
        <v>54</v>
      </c>
      <c r="AK1" s="23">
        <v>55</v>
      </c>
      <c r="AL1" s="23">
        <v>56</v>
      </c>
      <c r="AM1" s="23">
        <v>57</v>
      </c>
      <c r="AN1" s="23">
        <v>58</v>
      </c>
      <c r="AO1" s="23">
        <v>59</v>
      </c>
      <c r="AP1" s="23">
        <v>60</v>
      </c>
      <c r="AQ1" s="23">
        <v>61</v>
      </c>
      <c r="AR1" s="23">
        <v>62</v>
      </c>
      <c r="AS1" s="23">
        <v>63</v>
      </c>
      <c r="AT1" s="23">
        <v>64</v>
      </c>
      <c r="AU1" s="23">
        <v>65</v>
      </c>
      <c r="AV1" s="23">
        <v>66</v>
      </c>
      <c r="AW1" s="23">
        <v>69</v>
      </c>
      <c r="AX1" s="23">
        <v>70</v>
      </c>
      <c r="AY1" s="23">
        <v>71</v>
      </c>
      <c r="AZ1" s="23">
        <v>72</v>
      </c>
      <c r="BA1" s="23">
        <v>73</v>
      </c>
      <c r="BB1" s="23">
        <v>74</v>
      </c>
      <c r="BC1" s="23">
        <v>75</v>
      </c>
      <c r="BD1" s="23">
        <v>76</v>
      </c>
      <c r="BE1" s="23">
        <v>77</v>
      </c>
      <c r="BF1" s="4" t="s">
        <v>17</v>
      </c>
      <c r="BG1" s="4" t="s">
        <v>18</v>
      </c>
      <c r="BH1" s="4" t="s">
        <v>17</v>
      </c>
      <c r="BI1" s="4" t="s">
        <v>18</v>
      </c>
    </row>
    <row r="2" spans="1:62" x14ac:dyDescent="0.25">
      <c r="A2" s="6" t="s">
        <v>32</v>
      </c>
      <c r="B2" s="2" t="s">
        <v>33</v>
      </c>
      <c r="C2" s="24">
        <v>0</v>
      </c>
      <c r="D2" s="24">
        <v>0</v>
      </c>
      <c r="E2" s="24">
        <v>0</v>
      </c>
      <c r="F2" s="24">
        <v>1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3</v>
      </c>
      <c r="AB2" s="24">
        <v>3</v>
      </c>
      <c r="AC2" s="24">
        <v>0</v>
      </c>
      <c r="AD2" s="24">
        <v>3</v>
      </c>
      <c r="AE2" s="24">
        <v>0</v>
      </c>
      <c r="AF2" s="24">
        <v>4</v>
      </c>
      <c r="AG2" s="24">
        <v>0</v>
      </c>
      <c r="AH2" s="24">
        <v>0</v>
      </c>
      <c r="AI2" s="24">
        <v>1</v>
      </c>
      <c r="AJ2" s="24">
        <v>0</v>
      </c>
      <c r="AK2" s="24">
        <v>0</v>
      </c>
      <c r="AL2" s="24">
        <v>1</v>
      </c>
      <c r="AM2" s="24">
        <v>2</v>
      </c>
      <c r="AN2" s="24">
        <v>1</v>
      </c>
      <c r="AO2" s="24">
        <v>0</v>
      </c>
      <c r="AP2" s="24">
        <v>0</v>
      </c>
      <c r="AQ2" s="24">
        <v>4</v>
      </c>
      <c r="AR2" s="24">
        <v>3</v>
      </c>
      <c r="AS2" s="24">
        <v>0</v>
      </c>
      <c r="AT2" s="24">
        <v>5</v>
      </c>
      <c r="AU2" s="24">
        <v>6</v>
      </c>
      <c r="AV2" s="24">
        <v>2</v>
      </c>
      <c r="AW2" s="24">
        <v>3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3</v>
      </c>
      <c r="BF2">
        <f>AVERAGE(C2:BE2)</f>
        <v>0.81818181818181823</v>
      </c>
      <c r="BG2">
        <f>STDEV(C2:BE2)</f>
        <v>1.5042028661807099</v>
      </c>
      <c r="BH2" s="4">
        <f>AVERAGE(C2:BE4)</f>
        <v>0.83030303030303032</v>
      </c>
      <c r="BI2" s="4">
        <f>STDEV(C2:BE4)</f>
        <v>2.1769979397243193</v>
      </c>
      <c r="BJ2" s="4" t="s">
        <v>32</v>
      </c>
    </row>
    <row r="3" spans="1:62" x14ac:dyDescent="0.25">
      <c r="A3" s="6" t="s">
        <v>32</v>
      </c>
      <c r="B3" s="2" t="s">
        <v>34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1</v>
      </c>
      <c r="U3" s="24">
        <v>0</v>
      </c>
      <c r="V3" s="24">
        <v>0</v>
      </c>
      <c r="W3" s="24">
        <v>1</v>
      </c>
      <c r="X3" s="24">
        <v>2</v>
      </c>
      <c r="Y3" s="24">
        <v>0</v>
      </c>
      <c r="Z3" s="24">
        <v>0</v>
      </c>
      <c r="AA3" s="24">
        <v>0</v>
      </c>
      <c r="AB3" s="24">
        <v>4</v>
      </c>
      <c r="AC3" s="24">
        <v>0</v>
      </c>
      <c r="AD3" s="24">
        <v>4</v>
      </c>
      <c r="AE3" s="24">
        <v>0</v>
      </c>
      <c r="AF3" s="24">
        <v>1</v>
      </c>
      <c r="AG3" s="24">
        <v>0</v>
      </c>
      <c r="AH3" s="24">
        <v>11</v>
      </c>
      <c r="AI3" s="24">
        <v>0</v>
      </c>
      <c r="AJ3" s="24">
        <v>2</v>
      </c>
      <c r="AK3" s="24">
        <v>0</v>
      </c>
      <c r="AL3" s="24">
        <v>0</v>
      </c>
      <c r="AM3" s="24">
        <v>3</v>
      </c>
      <c r="AN3" s="24">
        <v>2</v>
      </c>
      <c r="AO3" s="24">
        <v>1</v>
      </c>
      <c r="AP3" s="24">
        <v>0</v>
      </c>
      <c r="AQ3" s="24">
        <v>0</v>
      </c>
      <c r="AR3" s="24">
        <v>0</v>
      </c>
      <c r="AS3" s="24">
        <v>0</v>
      </c>
      <c r="AT3" s="24">
        <v>9</v>
      </c>
      <c r="AU3" s="24">
        <v>0</v>
      </c>
      <c r="AV3" s="24">
        <v>0</v>
      </c>
      <c r="AW3" s="24">
        <v>1</v>
      </c>
      <c r="AX3" s="24">
        <v>0</v>
      </c>
      <c r="AY3" s="24">
        <v>1</v>
      </c>
      <c r="AZ3" s="24">
        <v>1</v>
      </c>
      <c r="BA3" s="24">
        <v>1</v>
      </c>
      <c r="BB3" s="24">
        <v>1</v>
      </c>
      <c r="BC3" s="24">
        <v>3</v>
      </c>
      <c r="BD3" s="24">
        <v>5</v>
      </c>
      <c r="BE3" s="24">
        <v>1</v>
      </c>
      <c r="BF3">
        <f t="shared" ref="BF3:BF5" si="0">AVERAGE(C3:BE3)</f>
        <v>1</v>
      </c>
      <c r="BG3">
        <f t="shared" ref="BG3:BG5" si="1">STDEV(C3:BE3)</f>
        <v>2.1256807188565543</v>
      </c>
    </row>
    <row r="4" spans="1:62" x14ac:dyDescent="0.25">
      <c r="A4" s="6" t="s">
        <v>32</v>
      </c>
      <c r="B4" s="2" t="s">
        <v>35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2</v>
      </c>
      <c r="M4" s="24">
        <v>0</v>
      </c>
      <c r="N4" s="24">
        <v>0</v>
      </c>
      <c r="O4" s="24">
        <v>2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1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1</v>
      </c>
      <c r="AK4" s="24">
        <v>0</v>
      </c>
      <c r="AL4" s="24">
        <v>1</v>
      </c>
      <c r="AM4" s="24">
        <v>3</v>
      </c>
      <c r="AN4" s="24">
        <v>1</v>
      </c>
      <c r="AO4" s="24">
        <v>3</v>
      </c>
      <c r="AP4" s="24">
        <v>0</v>
      </c>
      <c r="AQ4" s="24">
        <v>0</v>
      </c>
      <c r="AR4" s="24">
        <v>0</v>
      </c>
      <c r="AS4" s="24">
        <v>0</v>
      </c>
      <c r="AT4" s="24">
        <v>1</v>
      </c>
      <c r="AU4" s="24">
        <v>0</v>
      </c>
      <c r="AV4" s="24">
        <v>0</v>
      </c>
      <c r="AW4" s="24">
        <v>0</v>
      </c>
      <c r="AX4" s="24">
        <v>1</v>
      </c>
      <c r="AY4" s="24">
        <v>0</v>
      </c>
      <c r="AZ4" s="24">
        <v>0</v>
      </c>
      <c r="BA4" s="24">
        <v>1</v>
      </c>
      <c r="BB4" s="24">
        <v>20</v>
      </c>
      <c r="BC4" s="24">
        <v>0</v>
      </c>
      <c r="BD4" s="24">
        <v>0</v>
      </c>
      <c r="BE4" s="24">
        <v>0</v>
      </c>
      <c r="BF4">
        <f t="shared" si="0"/>
        <v>0.67272727272727273</v>
      </c>
      <c r="BG4">
        <f t="shared" si="1"/>
        <v>2.7491045374040906</v>
      </c>
    </row>
    <row r="5" spans="1:62" x14ac:dyDescent="0.25">
      <c r="A5" s="4" t="s">
        <v>19</v>
      </c>
      <c r="B5" s="2" t="s">
        <v>36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1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1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5">
        <f t="shared" si="0"/>
        <v>3.6363636363636362E-2</v>
      </c>
      <c r="BG5" s="5">
        <f t="shared" si="1"/>
        <v>0.18891859540615819</v>
      </c>
      <c r="BH5" s="5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activeCell="Z3" sqref="Z3"/>
    </sheetView>
  </sheetViews>
  <sheetFormatPr defaultRowHeight="15.75" x14ac:dyDescent="0.25"/>
  <cols>
    <col min="1" max="1" width="12.375" bestFit="1" customWidth="1"/>
    <col min="2" max="2" width="9.5" bestFit="1" customWidth="1"/>
    <col min="3" max="11" width="1.875" bestFit="1" customWidth="1"/>
    <col min="12" max="22" width="2.625" bestFit="1" customWidth="1"/>
    <col min="23" max="23" width="13.875" bestFit="1" customWidth="1"/>
    <col min="24" max="24" width="11.875" bestFit="1" customWidth="1"/>
  </cols>
  <sheetData>
    <row r="1" spans="1:26" s="4" customFormat="1" x14ac:dyDescent="0.25">
      <c r="A1" s="25" t="s">
        <v>30</v>
      </c>
      <c r="B1" s="23" t="s">
        <v>37</v>
      </c>
      <c r="C1" s="23">
        <v>1</v>
      </c>
      <c r="D1" s="23">
        <v>2</v>
      </c>
      <c r="E1" s="23">
        <v>3</v>
      </c>
      <c r="F1" s="23">
        <v>4</v>
      </c>
      <c r="G1" s="23">
        <v>5</v>
      </c>
      <c r="H1" s="23">
        <v>6</v>
      </c>
      <c r="I1" s="23">
        <v>7</v>
      </c>
      <c r="J1" s="23">
        <v>8</v>
      </c>
      <c r="K1" s="23">
        <v>9</v>
      </c>
      <c r="L1" s="23">
        <v>10</v>
      </c>
      <c r="M1" s="23">
        <v>11</v>
      </c>
      <c r="N1" s="23">
        <v>12</v>
      </c>
      <c r="O1" s="23">
        <v>13</v>
      </c>
      <c r="P1" s="23">
        <v>14</v>
      </c>
      <c r="Q1" s="23">
        <v>15</v>
      </c>
      <c r="R1" s="23">
        <v>16</v>
      </c>
      <c r="S1" s="23">
        <v>17</v>
      </c>
      <c r="T1" s="23">
        <v>18</v>
      </c>
      <c r="U1" s="23">
        <v>19</v>
      </c>
      <c r="V1" s="23">
        <v>20</v>
      </c>
      <c r="W1" s="23" t="s">
        <v>38</v>
      </c>
      <c r="X1" s="4" t="s">
        <v>17</v>
      </c>
      <c r="Y1" s="4" t="s">
        <v>18</v>
      </c>
    </row>
    <row r="2" spans="1:26" x14ac:dyDescent="0.25">
      <c r="A2" s="4" t="s">
        <v>19</v>
      </c>
      <c r="B2" s="2" t="s">
        <v>39</v>
      </c>
      <c r="C2" s="24">
        <v>0</v>
      </c>
      <c r="D2" s="24">
        <v>1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1</v>
      </c>
      <c r="X2" s="4">
        <f>AVERAGE(C2:V2)</f>
        <v>0.05</v>
      </c>
      <c r="Y2" s="4">
        <f>STDEV(C2:W2)</f>
        <v>0.30079260375911915</v>
      </c>
      <c r="Z2" s="4" t="s">
        <v>13</v>
      </c>
    </row>
    <row r="3" spans="1:26" x14ac:dyDescent="0.25">
      <c r="A3" s="5" t="s">
        <v>32</v>
      </c>
      <c r="B3" s="2" t="s">
        <v>33</v>
      </c>
      <c r="C3" s="24">
        <v>0</v>
      </c>
      <c r="D3" s="24">
        <v>0</v>
      </c>
      <c r="E3" s="24">
        <v>0</v>
      </c>
      <c r="F3" s="24">
        <v>0</v>
      </c>
      <c r="G3" s="24">
        <v>2</v>
      </c>
      <c r="H3" s="24">
        <v>0</v>
      </c>
      <c r="I3" s="24">
        <v>3</v>
      </c>
      <c r="J3" s="24">
        <v>0</v>
      </c>
      <c r="K3" s="24">
        <v>0</v>
      </c>
      <c r="L3" s="24">
        <v>0</v>
      </c>
      <c r="M3" s="24">
        <v>1</v>
      </c>
      <c r="N3" s="24">
        <v>0</v>
      </c>
      <c r="O3" s="24">
        <v>0</v>
      </c>
      <c r="P3" s="24">
        <v>5</v>
      </c>
      <c r="Q3" s="24">
        <v>0</v>
      </c>
      <c r="R3" s="24">
        <v>0</v>
      </c>
      <c r="S3" s="24">
        <v>0</v>
      </c>
      <c r="T3" s="24">
        <v>0</v>
      </c>
      <c r="U3" s="24">
        <v>1</v>
      </c>
      <c r="V3" s="24">
        <v>0</v>
      </c>
      <c r="W3" s="24">
        <v>5</v>
      </c>
      <c r="X3">
        <f t="shared" ref="X3:X5" si="0">AVERAGE(C3:V3)</f>
        <v>0.6</v>
      </c>
      <c r="Y3">
        <f t="shared" ref="Y3:Y5" si="1">STDEV(C3:W3)</f>
        <v>1.6005951274150381</v>
      </c>
    </row>
    <row r="4" spans="1:26" x14ac:dyDescent="0.25">
      <c r="A4" s="5" t="s">
        <v>32</v>
      </c>
      <c r="B4" s="2" t="s">
        <v>34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1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1</v>
      </c>
      <c r="X4">
        <f t="shared" si="0"/>
        <v>0.05</v>
      </c>
      <c r="Y4">
        <f t="shared" si="1"/>
        <v>0.30079260375911915</v>
      </c>
    </row>
    <row r="5" spans="1:26" x14ac:dyDescent="0.25">
      <c r="A5" s="5" t="s">
        <v>32</v>
      </c>
      <c r="B5" s="2" t="s">
        <v>35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1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1</v>
      </c>
      <c r="Q5" s="24">
        <v>0</v>
      </c>
      <c r="R5" s="24">
        <v>1</v>
      </c>
      <c r="S5" s="24">
        <v>0</v>
      </c>
      <c r="T5" s="24">
        <v>0</v>
      </c>
      <c r="U5" s="24">
        <v>0</v>
      </c>
      <c r="V5" s="24">
        <v>0</v>
      </c>
      <c r="W5" s="24">
        <v>1</v>
      </c>
      <c r="X5">
        <f t="shared" si="0"/>
        <v>0.15</v>
      </c>
      <c r="Y5">
        <f t="shared" si="1"/>
        <v>0.40237390808147827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landing</vt:lpstr>
      <vt:lpstr>2004</vt:lpstr>
      <vt:lpstr>2012</vt:lpstr>
      <vt:lpstr>2011</vt:lpstr>
    </vt:vector>
  </TitlesOfParts>
  <Company>bender co.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Bender</dc:creator>
  <cp:lastModifiedBy>Mariana Bender Gomes</cp:lastModifiedBy>
  <dcterms:created xsi:type="dcterms:W3CDTF">2013-09-30T12:43:03Z</dcterms:created>
  <dcterms:modified xsi:type="dcterms:W3CDTF">2014-08-15T14:25:14Z</dcterms:modified>
</cp:coreProperties>
</file>